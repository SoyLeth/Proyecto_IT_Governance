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on\OneDrive\Escritorio\IT Governance\Proyecto\files\"/>
    </mc:Choice>
  </mc:AlternateContent>
  <xr:revisionPtr revIDLastSave="0" documentId="13_ncr:1_{5B045AB0-F9FF-4640-AA8F-8B1D3609AC1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triz CID" sheetId="1" r:id="rId1"/>
    <sheet name="MatImpIntdpCr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F12" i="2"/>
  <c r="J12" i="2" s="1"/>
  <c r="L12" i="2" s="1"/>
  <c r="I11" i="2"/>
  <c r="F11" i="2"/>
  <c r="J11" i="2" s="1"/>
  <c r="L11" i="2" s="1"/>
  <c r="I10" i="2"/>
  <c r="F10" i="2"/>
  <c r="J10" i="2" s="1"/>
  <c r="L10" i="2" s="1"/>
  <c r="I9" i="2"/>
  <c r="F9" i="2"/>
  <c r="J9" i="2" s="1"/>
  <c r="L9" i="2" s="1"/>
  <c r="I8" i="2"/>
  <c r="F8" i="2"/>
  <c r="J8" i="2" s="1"/>
  <c r="L8" i="2" s="1"/>
  <c r="I7" i="2"/>
  <c r="F7" i="2"/>
  <c r="J7" i="2" s="1"/>
  <c r="L7" i="2" s="1"/>
  <c r="I6" i="2"/>
  <c r="F6" i="2"/>
  <c r="J6" i="2" s="1"/>
  <c r="L6" i="2" s="1"/>
  <c r="I5" i="2"/>
  <c r="F5" i="2"/>
  <c r="J5" i="2" s="1"/>
  <c r="L5" i="2" s="1"/>
  <c r="I4" i="2"/>
  <c r="F4" i="2"/>
  <c r="J4" i="2" s="1"/>
  <c r="L4" i="2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G3" i="1"/>
  <c r="I3" i="1" s="1"/>
  <c r="N5" i="2" l="1"/>
  <c r="M5" i="2"/>
  <c r="N8" i="2"/>
  <c r="M8" i="2"/>
  <c r="N9" i="2"/>
  <c r="M9" i="2"/>
  <c r="N7" i="2"/>
  <c r="M7" i="2"/>
  <c r="N4" i="2"/>
  <c r="M4" i="2"/>
  <c r="N10" i="2"/>
  <c r="M10" i="2"/>
  <c r="N11" i="2"/>
  <c r="M11" i="2"/>
  <c r="N12" i="2"/>
  <c r="M12" i="2"/>
  <c r="N6" i="2"/>
  <c r="M6" i="2"/>
  <c r="H6" i="1"/>
  <c r="H10" i="1"/>
  <c r="H3" i="1"/>
  <c r="H11" i="1"/>
  <c r="H7" i="1"/>
  <c r="H8" i="1"/>
  <c r="H4" i="1"/>
  <c r="H5" i="1"/>
  <c r="H9" i="1"/>
</calcChain>
</file>

<file path=xl/sharedStrings.xml><?xml version="1.0" encoding="utf-8"?>
<sst xmlns="http://schemas.openxmlformats.org/spreadsheetml/2006/main" count="269" uniqueCount="130">
  <si>
    <t>MATRIZ CID - ANÁLISIS DE RIESGOS DE ACTIVOS DE INFORMACIÓN</t>
  </si>
  <si>
    <t>ID_PROCESO</t>
  </si>
  <si>
    <t>ID_ACTIVO</t>
  </si>
  <si>
    <t>ACTIVO DE INFORMACIÓN</t>
  </si>
  <si>
    <t>C</t>
  </si>
  <si>
    <t>I</t>
  </si>
  <si>
    <t>D</t>
  </si>
  <si>
    <t>TOTAL</t>
  </si>
  <si>
    <t>VALOR 1</t>
  </si>
  <si>
    <t>VALOR 2</t>
  </si>
  <si>
    <t>VULNERABILIDADES</t>
  </si>
  <si>
    <t>AMENAZAS</t>
  </si>
  <si>
    <t>EVENTO DE AMENAZA (RIESGO)</t>
  </si>
  <si>
    <t>CONTROLES</t>
  </si>
  <si>
    <t>Análisis de vulnerabilidades</t>
  </si>
  <si>
    <t>Análisis de amenazas</t>
  </si>
  <si>
    <t>Riesgo con control = Amenaza x Vulnerabilidad x Probabilidad x Impacto</t>
  </si>
  <si>
    <t>CN-PRO-001</t>
  </si>
  <si>
    <t>CN-AI-001</t>
  </si>
  <si>
    <t>Personal de atención al cliente</t>
  </si>
  <si>
    <t>Falta de capacitación, uso compartido de credenciales y validación manual de datos</t>
  </si>
  <si>
    <t>Error humano, ingeniería social o suplantación de identidad</t>
  </si>
  <si>
    <t>Alta incorrecta de clientes, exposición de datos o entrega indebida de accesos</t>
  </si>
  <si>
    <t>Capacitación periódica, MFA, segregación de funciones y doble validación de altas</t>
  </si>
  <si>
    <t>Activo</t>
  </si>
  <si>
    <t>Vulnerabilidad</t>
  </si>
  <si>
    <t>Severidad</t>
  </si>
  <si>
    <t>Exposición</t>
  </si>
  <si>
    <t>Valor3</t>
  </si>
  <si>
    <t>Amenaza</t>
  </si>
  <si>
    <t>Evento de amenaza</t>
  </si>
  <si>
    <t>Capacidad</t>
  </si>
  <si>
    <t>Motivación</t>
  </si>
  <si>
    <t>Valor4</t>
  </si>
  <si>
    <t>Amenaza (Valor4)</t>
  </si>
  <si>
    <t>Vulnerabilidad (Valor3)</t>
  </si>
  <si>
    <t>Probabilidad</t>
  </si>
  <si>
    <t>Impacto CID</t>
  </si>
  <si>
    <t>Riesgo Total</t>
  </si>
  <si>
    <t>CN-AI-002</t>
  </si>
  <si>
    <t>Base de datos de clientes</t>
  </si>
  <si>
    <t>Permisos excesivos, cifrado insuficiente y respaldos no verificados</t>
  </si>
  <si>
    <t>Ciberataque, acceso no autorizado, malware o fuga de información</t>
  </si>
  <si>
    <t>Pérdida, alteración o exposición de datos personales y de facturación</t>
  </si>
  <si>
    <t>Cifrado, control de acceso por roles, monitoreo, respaldos probados y políticas de privacidad</t>
  </si>
  <si>
    <t>CN-AI-003</t>
  </si>
  <si>
    <t>Documentación de alta de clientes</t>
  </si>
  <si>
    <t>Documentos desactualizados, almacenamiento sin control de versiones y acceso no restringido</t>
  </si>
  <si>
    <t>Modificación no autorizada, pérdida documental o uso de formatos obsoletos</t>
  </si>
  <si>
    <t>Alta de clientes con datos incompletos o evidencia insuficiente del proceso</t>
  </si>
  <si>
    <t>Repositorio centralizado, control de versiones, permisos por rol y revisión periódica</t>
  </si>
  <si>
    <t>CN-PRO-002</t>
  </si>
  <si>
    <t>CN-AI-004</t>
  </si>
  <si>
    <t>Infraestructura de servidores</t>
  </si>
  <si>
    <t>Configuración insegura, falta de parches, capacidad limitada y monitoreo insuficiente</t>
  </si>
  <si>
    <t>Falla de hardware, ataque DDoS, malware, explotación de vulnerabilidades o incendio</t>
  </si>
  <si>
    <t>Interrupción del hosting, pérdida de disponibilidad y afectación a sitios de clientes</t>
  </si>
  <si>
    <t>Hardening, parches, monitoreo 24/7, redundancia, respaldos y plan de continuidad</t>
  </si>
  <si>
    <t>Documentos desactualizados, almacenamiento sin control de versiones y acceso sin permisos definidos</t>
  </si>
  <si>
    <t>CN-AI-005</t>
  </si>
  <si>
    <t>Equipo de cómputo administrativo</t>
  </si>
  <si>
    <t>Antivirus desactualizado, bloqueo de pantalla débil y uso de dispositivos externos</t>
  </si>
  <si>
    <t>Robo de equipo, malware, acceso no autorizado o daño físico</t>
  </si>
  <si>
    <t>Compromiso de cuentas administrativas o pérdida de capacidad operativa del personal de IT</t>
  </si>
  <si>
    <t>EDR/antivirus, cifrado de disco, bloqueo automático, inventario y políticas de uso aceptable</t>
  </si>
  <si>
    <t>Falla de hardware, ataque DDoS, malware, explotación de vulnerabilidades o indisponibilidad eléctrica</t>
  </si>
  <si>
    <t>CN-AI-006</t>
  </si>
  <si>
    <t>Dispositivos de red</t>
  </si>
  <si>
    <t>Contraseñas por defecto, firmware desactualizado y reglas de firewall mal configuradas</t>
  </si>
  <si>
    <t>Ataque a red, intrusión, denegación de servicio o manipulación de configuración</t>
  </si>
  <si>
    <t>Caída del servicio de hosting, acceso no autorizado o pérdida de conectividad</t>
  </si>
  <si>
    <t>Segmentación, actualización de firmware, reglas firewall revisadas, monitoreo SNMP y respaldos de configuración</t>
  </si>
  <si>
    <t>Antivirus desactualizado, bloqueo de pantalla débil y uso de dispositivos externos no controlados</t>
  </si>
  <si>
    <t>Compromiso de cuentas administrativas o pérdida de capacidad operativa del personal</t>
  </si>
  <si>
    <t>CN-PRO-003</t>
  </si>
  <si>
    <t>CN-AI-007</t>
  </si>
  <si>
    <t>Sistema de tickets</t>
  </si>
  <si>
    <t>Gestión débil de usuarios, falta de trazabilidad y dependencia de una sola plataforma</t>
  </si>
  <si>
    <t>Indisponibilidad de plataforma, acceso no autorizado o eliminación de tickets</t>
  </si>
  <si>
    <t>Pérdida de seguimiento de incidentes y retraso en la atención al cliente</t>
  </si>
  <si>
    <t>MFA, perfiles por rol, respaldos, auditoría de cambios y procedimiento alterno de registro</t>
  </si>
  <si>
    <t>CN-AI-008</t>
  </si>
  <si>
    <t>Bitácoras de incidencias</t>
  </si>
  <si>
    <t>Registros incompletos, edición sin autorización y ausencia de retención definida</t>
  </si>
  <si>
    <t>Alteración de evidencias, borrado accidental o manipulación por usuario interno</t>
  </si>
  <si>
    <t>Pérdida de trazabilidad y dificultad para auditar o resolver incidentes recurrentes</t>
  </si>
  <si>
    <t>Bitácoras inmutables, control de cambios, política de retención y revisión de evidencias</t>
  </si>
  <si>
    <t>CN-AI-009</t>
  </si>
  <si>
    <t>Base de conocimiento técnica</t>
  </si>
  <si>
    <t>Contenido desactualizado, falta de revisión técnica y permisos de edición amplios</t>
  </si>
  <si>
    <t>Uso de procedimientos incorrectos, modificación no autorizada o eliminación de guías</t>
  </si>
  <si>
    <t>Diagnóstico erróneo o retraso en la resolución de incidentes frecuentes</t>
  </si>
  <si>
    <t>Flujo de aprobación, revisión periódica, control de versiones y permisos de edición</t>
  </si>
  <si>
    <t>MATRIZ DE IMPACTO, INTERDEPENDENCIA Y CRITICIDAD - ACTIVOS DE INFORMACIÓN</t>
  </si>
  <si>
    <t>TABLAS DE APOYO PARA CÁLCULO AUTOMÁTICO</t>
  </si>
  <si>
    <t>ACTIVO</t>
  </si>
  <si>
    <t>VALORACIÓN</t>
  </si>
  <si>
    <t>IDENTIFICACIÓN DE INFRAESTRUCTURAS CRÍTICAS</t>
  </si>
  <si>
    <t>Área Geográfica</t>
  </si>
  <si>
    <t>Periodo de Afectación</t>
  </si>
  <si>
    <t>IMPACTO</t>
  </si>
  <si>
    <t>Cantidad de Infraestructuras Críticas Afectadas</t>
  </si>
  <si>
    <t>Campos Afectados</t>
  </si>
  <si>
    <t>INTERDEPENDENCIA</t>
  </si>
  <si>
    <t>CRITICIDAD</t>
  </si>
  <si>
    <t>INFRAESTRUCTURAS CRÍTICAS DETECTADAS</t>
  </si>
  <si>
    <t>GRADO DE CRITICIDAD</t>
  </si>
  <si>
    <t>CONTROLES A IMPLEMENTAR</t>
  </si>
  <si>
    <t>Matriz de Impacto</t>
  </si>
  <si>
    <t>Impacto</t>
  </si>
  <si>
    <t>Periodo 1</t>
  </si>
  <si>
    <t>Periodo 2</t>
  </si>
  <si>
    <t>Periodo 3</t>
  </si>
  <si>
    <t>Área 1</t>
  </si>
  <si>
    <t>Área 2</t>
  </si>
  <si>
    <t>Área 3</t>
  </si>
  <si>
    <t>Matriz de Interdependencia</t>
  </si>
  <si>
    <t>Interdependencia</t>
  </si>
  <si>
    <t>Campo 1</t>
  </si>
  <si>
    <t>Campo 2</t>
  </si>
  <si>
    <t>Campo 3</t>
  </si>
  <si>
    <t>IC 1</t>
  </si>
  <si>
    <t>IC 2</t>
  </si>
  <si>
    <t>IC 3</t>
  </si>
  <si>
    <t>Matriz de Criticidad</t>
  </si>
  <si>
    <t>Impacto \ Interdependencia</t>
  </si>
  <si>
    <t>II</t>
  </si>
  <si>
    <t>III</t>
  </si>
  <si>
    <t>IV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</si>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</sst>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2"/>
      <color rgb="FFFFFFFF"/>
      <name val="Carlito"/>
    </font>
    <font>
      <sz val="10"/>
      <name val="Carlito"/>
    </font>
    <font>
      <b/>
      <sz val="10"/>
      <color rgb="FF000000"/>
      <name val="Carlito"/>
    </font>
    <font>
      <b/>
      <sz val="10"/>
      <color rgb="FFFFFFFF"/>
      <name val="Carlito"/>
    </font>
    <font>
      <b/>
      <sz val="10"/>
      <name val="Carlito"/>
    </font>
    <font>
      <b/>
      <sz val="10"/>
      <color theme="1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BFE3F1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E51B00"/>
      </patternFill>
    </fill>
    <fill>
      <patternFill patternType="solid">
        <fgColor rgb="FFFCE4D6"/>
      </patternFill>
    </fill>
    <fill>
      <patternFill patternType="solid">
        <fgColor rgb="FFF4C99B"/>
      </patternFill>
    </fill>
    <fill>
      <patternFill patternType="solid">
        <fgColor rgb="FFFF6633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5BBDEB"/>
      </left>
      <right style="thin">
        <color rgb="FF5BBDEB"/>
      </right>
      <top style="thin">
        <color rgb="FF5BBDEB"/>
      </top>
      <bottom style="thin">
        <color rgb="FF5BBDE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4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atrizCID" displayName="TablaMatrizCID" ref="A2:M11">
  <tableColumns count="13">
    <tableColumn id="1" xr3:uid="{00000000-0010-0000-0000-000001000000}" name="ID_PROCESO"/>
    <tableColumn id="2" xr3:uid="{00000000-0010-0000-0000-000002000000}" name="ID_ACTIVO"/>
    <tableColumn id="3" xr3:uid="{00000000-0010-0000-0000-000003000000}" name="ACTIVO DE INFORMACIÓN"/>
    <tableColumn id="4" xr3:uid="{00000000-0010-0000-0000-000004000000}" name="C"/>
    <tableColumn id="5" xr3:uid="{00000000-0010-0000-0000-000005000000}" name="I"/>
    <tableColumn id="6" xr3:uid="{00000000-0010-0000-0000-000006000000}" name="D"/>
    <tableColumn id="7" xr3:uid="{00000000-0010-0000-0000-000007000000}" name="TOTAL"/>
    <tableColumn id="8" xr3:uid="{00000000-0010-0000-0000-000008000000}" name="VALOR 1"/>
    <tableColumn id="9" xr3:uid="{00000000-0010-0000-0000-000009000000}" name="VALOR 2"/>
    <tableColumn id="10" xr3:uid="{00000000-0010-0000-0000-00000A000000}" name="VULNERABILIDADES"/>
    <tableColumn id="11" xr3:uid="{00000000-0010-0000-0000-00000B000000}" name="AMENAZAS"/>
    <tableColumn id="12" xr3:uid="{00000000-0010-0000-0000-00000C000000}" name="EVENTO DE AMENAZA (RIESGO)"/>
    <tableColumn id="13" xr3:uid="{00000000-0010-0000-0000-00000D000000}" name="CONTRO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0"/>
  <sheetViews>
    <sheetView tabSelected="1" zoomScaleNormal="100" workbookViewId="0">
      <selection activeCell="B13" sqref="B13"/>
    </sheetView>
  </sheetViews>
  <sheetFormatPr baseColWidth="10" defaultColWidth="8.796875" defaultRowHeight="13.8"/>
  <cols>
    <col min="1" max="1" width="14" customWidth="1"/>
    <col min="2" max="2" width="13" customWidth="1"/>
    <col min="3" max="3" width="28" customWidth="1"/>
    <col min="4" max="6" width="5" customWidth="1"/>
    <col min="7" max="7" width="8" customWidth="1"/>
    <col min="8" max="8" width="10" customWidth="1"/>
    <col min="9" max="9" width="7.296875" customWidth="1"/>
    <col min="10" max="10" width="38" customWidth="1"/>
    <col min="11" max="11" width="34" customWidth="1"/>
    <col min="12" max="12" width="40" customWidth="1"/>
    <col min="13" max="13" width="42" customWidth="1"/>
    <col min="14" max="14" width="3" customWidth="1"/>
    <col min="15" max="15" width="12" customWidth="1"/>
    <col min="16" max="16" width="24" customWidth="1"/>
    <col min="17" max="17" width="36" customWidth="1"/>
    <col min="18" max="20" width="11" customWidth="1"/>
    <col min="21" max="21" width="14" customWidth="1"/>
    <col min="22" max="22" width="12" customWidth="1"/>
    <col min="23" max="23" width="24" customWidth="1"/>
    <col min="24" max="24" width="36" customWidth="1"/>
    <col min="25" max="25" width="38" customWidth="1"/>
    <col min="26" max="28" width="11" customWidth="1"/>
    <col min="29" max="29" width="10" customWidth="1"/>
    <col min="30" max="30" width="12" customWidth="1"/>
    <col min="31" max="31" width="24" customWidth="1"/>
    <col min="32" max="33" width="16" customWidth="1"/>
    <col min="34" max="36" width="12" customWidth="1"/>
    <col min="37" max="37" width="2" customWidth="1"/>
  </cols>
  <sheetData>
    <row r="1" spans="1:36" ht="64.5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3"/>
      <c r="O1" s="3"/>
      <c r="P1" s="3"/>
      <c r="Q1" s="3"/>
      <c r="R1" s="3"/>
      <c r="S1" s="1"/>
      <c r="T1" s="1"/>
      <c r="U1" s="1"/>
      <c r="V1" s="1"/>
    </row>
    <row r="2" spans="1:36" ht="27.6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3"/>
      <c r="O2" s="42" t="s">
        <v>14</v>
      </c>
      <c r="P2" s="42"/>
      <c r="Q2" s="42"/>
      <c r="R2" s="42"/>
      <c r="S2" s="42"/>
      <c r="T2" s="42"/>
      <c r="U2" s="1"/>
      <c r="V2" s="42" t="s">
        <v>15</v>
      </c>
      <c r="W2" s="42"/>
      <c r="X2" s="42"/>
      <c r="Y2" s="42"/>
      <c r="Z2" s="42"/>
      <c r="AA2" s="42"/>
      <c r="AB2" s="42"/>
      <c r="AC2" s="1"/>
      <c r="AD2" s="42" t="s">
        <v>16</v>
      </c>
      <c r="AE2" s="42"/>
      <c r="AF2" s="42"/>
      <c r="AG2" s="42"/>
      <c r="AH2" s="42"/>
      <c r="AI2" s="42"/>
      <c r="AJ2" s="42"/>
    </row>
    <row r="3" spans="1:36" ht="27.6">
      <c r="A3" s="4" t="s">
        <v>17</v>
      </c>
      <c r="B3" s="4" t="s">
        <v>18</v>
      </c>
      <c r="C3" s="4" t="s">
        <v>19</v>
      </c>
      <c r="D3" s="4">
        <v>3</v>
      </c>
      <c r="E3" s="4">
        <v>4</v>
      </c>
      <c r="F3" s="4">
        <v>4</v>
      </c>
      <c r="G3" s="4">
        <f t="shared" ref="G3:G11" si="0">SUM(D3:F3)</f>
        <v>11</v>
      </c>
      <c r="H3" s="4" t="str">
        <f t="shared" ref="H3:H11" si="1">IF(G3&gt;10,"Alto",IF(G3&gt;5,"Medio",IF(G3&lt;6,"Bajo","Error")))</f>
        <v>Alto</v>
      </c>
      <c r="I3" s="4">
        <f t="shared" ref="I3:I11" si="2">IF(G3&gt;10,3,IF(G3&gt;5,2,IF(G3&lt;6,1,"Error")))</f>
        <v>3</v>
      </c>
      <c r="J3" s="2" t="s">
        <v>20</v>
      </c>
      <c r="K3" s="2" t="s">
        <v>21</v>
      </c>
      <c r="L3" s="2" t="s">
        <v>22</v>
      </c>
      <c r="M3" s="2" t="s">
        <v>23</v>
      </c>
      <c r="N3" s="2"/>
      <c r="O3" s="5" t="s">
        <v>2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1"/>
      <c r="V3" s="5" t="s">
        <v>2</v>
      </c>
      <c r="W3" s="5" t="s">
        <v>24</v>
      </c>
      <c r="X3" s="5" t="s">
        <v>29</v>
      </c>
      <c r="Y3" s="5" t="s">
        <v>30</v>
      </c>
      <c r="Z3" s="5" t="s">
        <v>31</v>
      </c>
      <c r="AA3" s="5" t="s">
        <v>32</v>
      </c>
      <c r="AB3" s="5" t="s">
        <v>33</v>
      </c>
      <c r="AC3" s="1"/>
      <c r="AD3" s="5" t="s">
        <v>2</v>
      </c>
      <c r="AE3" s="5" t="s">
        <v>24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</row>
    <row r="4" spans="1:36" ht="27.6">
      <c r="A4" s="4" t="s">
        <v>17</v>
      </c>
      <c r="B4" s="4" t="s">
        <v>39</v>
      </c>
      <c r="C4" s="4" t="s">
        <v>40</v>
      </c>
      <c r="D4" s="4">
        <v>5</v>
      </c>
      <c r="E4" s="4">
        <v>5</v>
      </c>
      <c r="F4" s="4">
        <v>4</v>
      </c>
      <c r="G4" s="4">
        <f t="shared" si="0"/>
        <v>14</v>
      </c>
      <c r="H4" s="4" t="str">
        <f t="shared" si="1"/>
        <v>Alto</v>
      </c>
      <c r="I4" s="4">
        <f t="shared" si="2"/>
        <v>3</v>
      </c>
      <c r="J4" s="2" t="s">
        <v>41</v>
      </c>
      <c r="K4" s="2" t="s">
        <v>42</v>
      </c>
      <c r="L4" s="2" t="s">
        <v>43</v>
      </c>
      <c r="M4" s="2" t="s">
        <v>44</v>
      </c>
      <c r="N4" s="2"/>
      <c r="O4" s="4" t="s">
        <v>18</v>
      </c>
      <c r="P4" s="4" t="s">
        <v>19</v>
      </c>
      <c r="Q4" s="4" t="s">
        <v>20</v>
      </c>
      <c r="R4" s="4">
        <v>2</v>
      </c>
      <c r="S4" s="4">
        <v>2</v>
      </c>
      <c r="T4" s="4">
        <v>3</v>
      </c>
      <c r="U4" s="1"/>
      <c r="V4" s="4" t="s">
        <v>18</v>
      </c>
      <c r="W4" s="4" t="s">
        <v>19</v>
      </c>
      <c r="X4" s="4" t="s">
        <v>21</v>
      </c>
      <c r="Y4" s="4" t="s">
        <v>22</v>
      </c>
      <c r="Z4" s="4">
        <v>2</v>
      </c>
      <c r="AA4" s="4">
        <v>2</v>
      </c>
      <c r="AB4" s="4">
        <v>3</v>
      </c>
      <c r="AC4" s="1"/>
      <c r="AD4" s="4" t="s">
        <v>18</v>
      </c>
      <c r="AE4" s="4" t="s">
        <v>19</v>
      </c>
      <c r="AF4" s="4">
        <v>3</v>
      </c>
      <c r="AG4" s="4">
        <v>3</v>
      </c>
      <c r="AH4" s="4">
        <v>2</v>
      </c>
      <c r="AI4" s="4">
        <v>11</v>
      </c>
      <c r="AJ4" s="4">
        <v>198</v>
      </c>
    </row>
    <row r="5" spans="1:36" ht="41.4">
      <c r="A5" s="4" t="s">
        <v>17</v>
      </c>
      <c r="B5" s="4" t="s">
        <v>45</v>
      </c>
      <c r="C5" s="4" t="s">
        <v>46</v>
      </c>
      <c r="D5" s="4">
        <v>3</v>
      </c>
      <c r="E5" s="4">
        <v>4</v>
      </c>
      <c r="F5" s="4">
        <v>2</v>
      </c>
      <c r="G5" s="4">
        <f t="shared" si="0"/>
        <v>9</v>
      </c>
      <c r="H5" s="4" t="str">
        <f t="shared" si="1"/>
        <v>Medio</v>
      </c>
      <c r="I5" s="4">
        <f t="shared" si="2"/>
        <v>2</v>
      </c>
      <c r="J5" s="2" t="s">
        <v>47</v>
      </c>
      <c r="K5" s="2" t="s">
        <v>48</v>
      </c>
      <c r="L5" s="2" t="s">
        <v>49</v>
      </c>
      <c r="M5" s="2" t="s">
        <v>50</v>
      </c>
      <c r="N5" s="2"/>
      <c r="O5" s="4" t="s">
        <v>39</v>
      </c>
      <c r="P5" s="4" t="s">
        <v>40</v>
      </c>
      <c r="Q5" s="4" t="s">
        <v>41</v>
      </c>
      <c r="R5" s="4">
        <v>3</v>
      </c>
      <c r="S5" s="4">
        <v>3</v>
      </c>
      <c r="T5" s="4">
        <v>5</v>
      </c>
      <c r="U5" s="1"/>
      <c r="V5" s="4" t="s">
        <v>39</v>
      </c>
      <c r="W5" s="4" t="s">
        <v>40</v>
      </c>
      <c r="X5" s="4" t="s">
        <v>42</v>
      </c>
      <c r="Y5" s="4" t="s">
        <v>43</v>
      </c>
      <c r="Z5" s="4">
        <v>3</v>
      </c>
      <c r="AA5" s="4">
        <v>3</v>
      </c>
      <c r="AB5" s="4">
        <v>5</v>
      </c>
      <c r="AC5" s="1"/>
      <c r="AD5" s="4" t="s">
        <v>39</v>
      </c>
      <c r="AE5" s="4" t="s">
        <v>40</v>
      </c>
      <c r="AF5" s="4">
        <v>5</v>
      </c>
      <c r="AG5" s="4">
        <v>5</v>
      </c>
      <c r="AH5" s="4">
        <v>3</v>
      </c>
      <c r="AI5" s="4">
        <v>14</v>
      </c>
      <c r="AJ5" s="4">
        <v>1050</v>
      </c>
    </row>
    <row r="6" spans="1:36" ht="41.4">
      <c r="A6" s="4" t="s">
        <v>51</v>
      </c>
      <c r="B6" s="4" t="s">
        <v>52</v>
      </c>
      <c r="C6" s="4" t="s">
        <v>53</v>
      </c>
      <c r="D6" s="4">
        <v>3</v>
      </c>
      <c r="E6" s="4">
        <v>5</v>
      </c>
      <c r="F6" s="4">
        <v>5</v>
      </c>
      <c r="G6" s="4">
        <f t="shared" si="0"/>
        <v>13</v>
      </c>
      <c r="H6" s="4" t="str">
        <f t="shared" si="1"/>
        <v>Alto</v>
      </c>
      <c r="I6" s="4">
        <f t="shared" si="2"/>
        <v>3</v>
      </c>
      <c r="J6" s="2" t="s">
        <v>54</v>
      </c>
      <c r="K6" s="2" t="s">
        <v>55</v>
      </c>
      <c r="L6" s="2" t="s">
        <v>56</v>
      </c>
      <c r="M6" s="2" t="s">
        <v>57</v>
      </c>
      <c r="N6" s="2"/>
      <c r="O6" s="4" t="s">
        <v>45</v>
      </c>
      <c r="P6" s="4" t="s">
        <v>46</v>
      </c>
      <c r="Q6" s="4" t="s">
        <v>58</v>
      </c>
      <c r="R6" s="4">
        <v>2</v>
      </c>
      <c r="S6" s="4">
        <v>2</v>
      </c>
      <c r="T6" s="4">
        <v>3</v>
      </c>
      <c r="U6" s="1"/>
      <c r="V6" s="4" t="s">
        <v>45</v>
      </c>
      <c r="W6" s="4" t="s">
        <v>46</v>
      </c>
      <c r="X6" s="4" t="s">
        <v>48</v>
      </c>
      <c r="Y6" s="4" t="s">
        <v>49</v>
      </c>
      <c r="Z6" s="4">
        <v>2</v>
      </c>
      <c r="AA6" s="4">
        <v>1</v>
      </c>
      <c r="AB6" s="4">
        <v>2</v>
      </c>
      <c r="AC6" s="1"/>
      <c r="AD6" s="4" t="s">
        <v>45</v>
      </c>
      <c r="AE6" s="4" t="s">
        <v>46</v>
      </c>
      <c r="AF6" s="4">
        <v>2</v>
      </c>
      <c r="AG6" s="4">
        <v>3</v>
      </c>
      <c r="AH6" s="4">
        <v>2</v>
      </c>
      <c r="AI6" s="4">
        <v>9</v>
      </c>
      <c r="AJ6" s="4">
        <v>108</v>
      </c>
    </row>
    <row r="7" spans="1:36" ht="41.4">
      <c r="A7" s="4" t="s">
        <v>51</v>
      </c>
      <c r="B7" s="4" t="s">
        <v>59</v>
      </c>
      <c r="C7" s="4" t="s">
        <v>60</v>
      </c>
      <c r="D7" s="4">
        <v>3</v>
      </c>
      <c r="E7" s="4">
        <v>4</v>
      </c>
      <c r="F7" s="4">
        <v>4</v>
      </c>
      <c r="G7" s="4">
        <f t="shared" si="0"/>
        <v>11</v>
      </c>
      <c r="H7" s="4" t="str">
        <f t="shared" si="1"/>
        <v>Alto</v>
      </c>
      <c r="I7" s="4">
        <f t="shared" si="2"/>
        <v>3</v>
      </c>
      <c r="J7" s="2" t="s">
        <v>61</v>
      </c>
      <c r="K7" s="2" t="s">
        <v>62</v>
      </c>
      <c r="L7" s="2" t="s">
        <v>63</v>
      </c>
      <c r="M7" s="2" t="s">
        <v>64</v>
      </c>
      <c r="N7" s="2"/>
      <c r="O7" s="4" t="s">
        <v>52</v>
      </c>
      <c r="P7" s="4" t="s">
        <v>53</v>
      </c>
      <c r="Q7" s="4" t="s">
        <v>54</v>
      </c>
      <c r="R7" s="4">
        <v>3</v>
      </c>
      <c r="S7" s="4">
        <v>3</v>
      </c>
      <c r="T7" s="4">
        <v>5</v>
      </c>
      <c r="U7" s="1"/>
      <c r="V7" s="4" t="s">
        <v>52</v>
      </c>
      <c r="W7" s="4" t="s">
        <v>53</v>
      </c>
      <c r="X7" s="4" t="s">
        <v>65</v>
      </c>
      <c r="Y7" s="4" t="s">
        <v>56</v>
      </c>
      <c r="Z7" s="4">
        <v>3</v>
      </c>
      <c r="AA7" s="4">
        <v>3</v>
      </c>
      <c r="AB7" s="4">
        <v>5</v>
      </c>
      <c r="AC7" s="1"/>
      <c r="AD7" s="4" t="s">
        <v>52</v>
      </c>
      <c r="AE7" s="4" t="s">
        <v>53</v>
      </c>
      <c r="AF7" s="4">
        <v>5</v>
      </c>
      <c r="AG7" s="4">
        <v>5</v>
      </c>
      <c r="AH7" s="4">
        <v>3</v>
      </c>
      <c r="AI7" s="4">
        <v>13</v>
      </c>
      <c r="AJ7" s="4">
        <v>975</v>
      </c>
    </row>
    <row r="8" spans="1:36" ht="41.4">
      <c r="A8" s="4" t="s">
        <v>51</v>
      </c>
      <c r="B8" s="4" t="s">
        <v>66</v>
      </c>
      <c r="C8" s="4" t="s">
        <v>67</v>
      </c>
      <c r="D8" s="4">
        <v>3</v>
      </c>
      <c r="E8" s="4">
        <v>5</v>
      </c>
      <c r="F8" s="4">
        <v>5</v>
      </c>
      <c r="G8" s="4">
        <f t="shared" si="0"/>
        <v>13</v>
      </c>
      <c r="H8" s="4" t="str">
        <f t="shared" si="1"/>
        <v>Alto</v>
      </c>
      <c r="I8" s="4">
        <f t="shared" si="2"/>
        <v>3</v>
      </c>
      <c r="J8" s="2" t="s">
        <v>68</v>
      </c>
      <c r="K8" s="2" t="s">
        <v>69</v>
      </c>
      <c r="L8" s="2" t="s">
        <v>70</v>
      </c>
      <c r="M8" s="2" t="s">
        <v>71</v>
      </c>
      <c r="N8" s="2"/>
      <c r="O8" s="4" t="s">
        <v>59</v>
      </c>
      <c r="P8" s="4" t="s">
        <v>60</v>
      </c>
      <c r="Q8" s="4" t="s">
        <v>72</v>
      </c>
      <c r="R8" s="4">
        <v>2</v>
      </c>
      <c r="S8" s="4">
        <v>3</v>
      </c>
      <c r="T8" s="4">
        <v>4</v>
      </c>
      <c r="U8" s="1"/>
      <c r="V8" s="4" t="s">
        <v>59</v>
      </c>
      <c r="W8" s="4" t="s">
        <v>60</v>
      </c>
      <c r="X8" s="4" t="s">
        <v>62</v>
      </c>
      <c r="Y8" s="4" t="s">
        <v>73</v>
      </c>
      <c r="Z8" s="4">
        <v>2</v>
      </c>
      <c r="AA8" s="4">
        <v>2</v>
      </c>
      <c r="AB8" s="4">
        <v>3</v>
      </c>
      <c r="AC8" s="1"/>
      <c r="AD8" s="4" t="s">
        <v>59</v>
      </c>
      <c r="AE8" s="4" t="s">
        <v>60</v>
      </c>
      <c r="AF8" s="4">
        <v>3</v>
      </c>
      <c r="AG8" s="4">
        <v>4</v>
      </c>
      <c r="AH8" s="4">
        <v>2</v>
      </c>
      <c r="AI8" s="4">
        <v>11</v>
      </c>
      <c r="AJ8" s="4">
        <v>264</v>
      </c>
    </row>
    <row r="9" spans="1:36" ht="41.4">
      <c r="A9" s="4" t="s">
        <v>74</v>
      </c>
      <c r="B9" s="4" t="s">
        <v>75</v>
      </c>
      <c r="C9" s="4" t="s">
        <v>76</v>
      </c>
      <c r="D9" s="4">
        <v>4</v>
      </c>
      <c r="E9" s="4">
        <v>4</v>
      </c>
      <c r="F9" s="4">
        <v>4</v>
      </c>
      <c r="G9" s="4">
        <f t="shared" si="0"/>
        <v>12</v>
      </c>
      <c r="H9" s="4" t="str">
        <f t="shared" si="1"/>
        <v>Alto</v>
      </c>
      <c r="I9" s="4">
        <f t="shared" si="2"/>
        <v>3</v>
      </c>
      <c r="J9" s="2" t="s">
        <v>77</v>
      </c>
      <c r="K9" s="2" t="s">
        <v>78</v>
      </c>
      <c r="L9" s="2" t="s">
        <v>79</v>
      </c>
      <c r="M9" s="2" t="s">
        <v>80</v>
      </c>
      <c r="N9" s="2"/>
      <c r="O9" s="6" t="s">
        <v>66</v>
      </c>
      <c r="P9" s="6" t="s">
        <v>67</v>
      </c>
      <c r="Q9" s="6" t="s">
        <v>68</v>
      </c>
      <c r="R9" s="6">
        <v>3</v>
      </c>
      <c r="S9" s="6">
        <v>3</v>
      </c>
      <c r="T9" s="6">
        <v>5</v>
      </c>
      <c r="U9" s="7"/>
      <c r="V9" s="4" t="s">
        <v>66</v>
      </c>
      <c r="W9" s="6" t="s">
        <v>67</v>
      </c>
      <c r="X9" s="6" t="s">
        <v>69</v>
      </c>
      <c r="Y9" s="6" t="s">
        <v>70</v>
      </c>
      <c r="Z9" s="6">
        <v>3</v>
      </c>
      <c r="AA9" s="6">
        <v>3</v>
      </c>
      <c r="AB9" s="6">
        <v>5</v>
      </c>
      <c r="AC9" s="7"/>
      <c r="AD9" s="6" t="s">
        <v>66</v>
      </c>
      <c r="AE9" s="4" t="s">
        <v>67</v>
      </c>
      <c r="AF9" s="4">
        <v>5</v>
      </c>
      <c r="AG9" s="4">
        <v>5</v>
      </c>
      <c r="AH9" s="4">
        <v>3</v>
      </c>
      <c r="AI9" s="4">
        <v>13</v>
      </c>
      <c r="AJ9" s="4">
        <v>975</v>
      </c>
    </row>
    <row r="10" spans="1:36" ht="41.4">
      <c r="A10" s="4" t="s">
        <v>74</v>
      </c>
      <c r="B10" s="4" t="s">
        <v>81</v>
      </c>
      <c r="C10" s="4" t="s">
        <v>82</v>
      </c>
      <c r="D10" s="4">
        <v>4</v>
      </c>
      <c r="E10" s="4">
        <v>5</v>
      </c>
      <c r="F10" s="4">
        <v>3</v>
      </c>
      <c r="G10" s="4">
        <f t="shared" si="0"/>
        <v>12</v>
      </c>
      <c r="H10" s="4" t="str">
        <f t="shared" si="1"/>
        <v>Alto</v>
      </c>
      <c r="I10" s="4">
        <f t="shared" si="2"/>
        <v>3</v>
      </c>
      <c r="J10" s="2" t="s">
        <v>83</v>
      </c>
      <c r="K10" s="2" t="s">
        <v>84</v>
      </c>
      <c r="L10" s="2" t="s">
        <v>85</v>
      </c>
      <c r="M10" s="2" t="s">
        <v>86</v>
      </c>
      <c r="N10" s="2"/>
      <c r="O10" s="6" t="s">
        <v>75</v>
      </c>
      <c r="P10" s="6" t="s">
        <v>76</v>
      </c>
      <c r="Q10" s="6" t="s">
        <v>77</v>
      </c>
      <c r="R10" s="6">
        <v>3</v>
      </c>
      <c r="S10" s="6">
        <v>2</v>
      </c>
      <c r="T10" s="6">
        <v>4</v>
      </c>
      <c r="U10" s="7"/>
      <c r="V10" s="4" t="s">
        <v>75</v>
      </c>
      <c r="W10" s="6" t="s">
        <v>76</v>
      </c>
      <c r="X10" s="6" t="s">
        <v>78</v>
      </c>
      <c r="Y10" s="6" t="s">
        <v>79</v>
      </c>
      <c r="Z10" s="6">
        <v>2</v>
      </c>
      <c r="AA10" s="6">
        <v>2</v>
      </c>
      <c r="AB10" s="6">
        <v>3</v>
      </c>
      <c r="AC10" s="7"/>
      <c r="AD10" s="6" t="s">
        <v>75</v>
      </c>
      <c r="AE10" s="4" t="s">
        <v>76</v>
      </c>
      <c r="AF10" s="4">
        <v>3</v>
      </c>
      <c r="AG10" s="4">
        <v>4</v>
      </c>
      <c r="AH10" s="4">
        <v>2</v>
      </c>
      <c r="AI10" s="4">
        <v>12</v>
      </c>
      <c r="AJ10" s="4">
        <v>288</v>
      </c>
    </row>
    <row r="11" spans="1:36" ht="41.4">
      <c r="A11" s="4" t="s">
        <v>74</v>
      </c>
      <c r="B11" s="4" t="s">
        <v>87</v>
      </c>
      <c r="C11" s="4" t="s">
        <v>88</v>
      </c>
      <c r="D11" s="4">
        <v>2</v>
      </c>
      <c r="E11" s="4">
        <v>4</v>
      </c>
      <c r="F11" s="4">
        <v>3</v>
      </c>
      <c r="G11" s="4">
        <f t="shared" si="0"/>
        <v>9</v>
      </c>
      <c r="H11" s="4" t="str">
        <f t="shared" si="1"/>
        <v>Medio</v>
      </c>
      <c r="I11" s="4">
        <f t="shared" si="2"/>
        <v>2</v>
      </c>
      <c r="J11" s="2" t="s">
        <v>89</v>
      </c>
      <c r="K11" s="2" t="s">
        <v>90</v>
      </c>
      <c r="L11" s="2" t="s">
        <v>91</v>
      </c>
      <c r="M11" s="2" t="s">
        <v>92</v>
      </c>
      <c r="N11" s="2"/>
      <c r="O11" s="4" t="s">
        <v>81</v>
      </c>
      <c r="P11" s="4" t="s">
        <v>82</v>
      </c>
      <c r="Q11" s="4" t="s">
        <v>83</v>
      </c>
      <c r="R11" s="4">
        <v>3</v>
      </c>
      <c r="S11" s="4">
        <v>2</v>
      </c>
      <c r="T11" s="4">
        <v>4</v>
      </c>
      <c r="U11" s="2"/>
      <c r="V11" s="4" t="s">
        <v>81</v>
      </c>
      <c r="W11" s="4" t="s">
        <v>82</v>
      </c>
      <c r="X11" s="4" t="s">
        <v>84</v>
      </c>
      <c r="Y11" s="4" t="s">
        <v>85</v>
      </c>
      <c r="Z11" s="4">
        <v>2</v>
      </c>
      <c r="AA11" s="4">
        <v>2</v>
      </c>
      <c r="AB11" s="4">
        <v>3</v>
      </c>
      <c r="AC11" s="2"/>
      <c r="AD11" s="4" t="s">
        <v>81</v>
      </c>
      <c r="AE11" s="4" t="s">
        <v>82</v>
      </c>
      <c r="AF11" s="4">
        <v>3</v>
      </c>
      <c r="AG11" s="4">
        <v>4</v>
      </c>
      <c r="AH11" s="4">
        <v>2</v>
      </c>
      <c r="AI11" s="4">
        <v>12</v>
      </c>
      <c r="AJ11" s="4">
        <v>288</v>
      </c>
    </row>
    <row r="12" spans="1:36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 t="s">
        <v>87</v>
      </c>
      <c r="P12" s="4" t="s">
        <v>88</v>
      </c>
      <c r="Q12" s="4" t="s">
        <v>89</v>
      </c>
      <c r="R12" s="4">
        <v>2</v>
      </c>
      <c r="S12" s="4">
        <v>2</v>
      </c>
      <c r="T12" s="4">
        <v>3</v>
      </c>
      <c r="U12" s="2"/>
      <c r="V12" s="4" t="s">
        <v>87</v>
      </c>
      <c r="W12" s="4" t="s">
        <v>88</v>
      </c>
      <c r="X12" s="4" t="s">
        <v>90</v>
      </c>
      <c r="Y12" s="4" t="s">
        <v>91</v>
      </c>
      <c r="Z12" s="4">
        <v>2</v>
      </c>
      <c r="AA12" s="4">
        <v>1</v>
      </c>
      <c r="AB12" s="4">
        <v>2</v>
      </c>
      <c r="AC12" s="2"/>
      <c r="AD12" s="4" t="s">
        <v>87</v>
      </c>
      <c r="AE12" s="4" t="s">
        <v>88</v>
      </c>
      <c r="AF12" s="4">
        <v>2</v>
      </c>
      <c r="AG12" s="4">
        <v>3</v>
      </c>
      <c r="AH12" s="4">
        <v>2</v>
      </c>
      <c r="AI12" s="4">
        <v>9</v>
      </c>
      <c r="AJ12" s="4">
        <v>108</v>
      </c>
    </row>
    <row r="13" spans="1:36" ht="50.55" customHeight="1">
      <c r="A13" s="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"/>
      <c r="W13" s="2"/>
      <c r="X13" s="2"/>
      <c r="Y13" s="2"/>
      <c r="Z13" s="2"/>
      <c r="AA13" s="2"/>
      <c r="AB13" s="2"/>
      <c r="AC13" s="2"/>
      <c r="AD13" s="2"/>
    </row>
    <row r="14" spans="1:36" ht="50.55" customHeight="1">
      <c r="A14" s="8"/>
      <c r="B14" s="8"/>
      <c r="C14" s="8"/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"/>
      <c r="W14" s="2"/>
      <c r="X14" s="2"/>
      <c r="Y14" s="2"/>
      <c r="Z14" s="2"/>
      <c r="AA14" s="2"/>
      <c r="AB14" s="2"/>
      <c r="AC14" s="2"/>
      <c r="AD14" s="2"/>
    </row>
    <row r="15" spans="1:36" ht="50.5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"/>
      <c r="W15" s="2"/>
      <c r="X15" s="2"/>
      <c r="Y15" s="2"/>
      <c r="Z15" s="2"/>
      <c r="AA15" s="2"/>
      <c r="AB15" s="2"/>
      <c r="AC15" s="2"/>
      <c r="AD15" s="2"/>
    </row>
    <row r="16" spans="1:36" ht="42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"/>
      <c r="W16" s="2"/>
      <c r="X16" s="2"/>
      <c r="Y16" s="2"/>
      <c r="Z16" s="2"/>
      <c r="AA16" s="2"/>
      <c r="AB16" s="2"/>
      <c r="AC16" s="2"/>
      <c r="AD16" s="2"/>
    </row>
    <row r="17" spans="1:30" ht="42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"/>
      <c r="W17" s="2"/>
      <c r="X17" s="2"/>
      <c r="Y17" s="2"/>
      <c r="Z17" s="2"/>
      <c r="AA17" s="2"/>
      <c r="AB17" s="2"/>
      <c r="AC17" s="2"/>
      <c r="AD17" s="2"/>
    </row>
    <row r="18" spans="1:30" ht="50.5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"/>
      <c r="W18" s="2"/>
      <c r="X18" s="2"/>
      <c r="Y18" s="2"/>
      <c r="Z18" s="2"/>
      <c r="AA18" s="2"/>
      <c r="AB18" s="2"/>
      <c r="AC18" s="2"/>
      <c r="AD18" s="2"/>
    </row>
    <row r="19" spans="1:30" ht="42.15" customHeight="1">
      <c r="A19" s="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"/>
      <c r="W19" s="2"/>
      <c r="X19" s="2"/>
      <c r="Y19" s="2"/>
      <c r="Z19" s="2"/>
      <c r="AA19" s="2"/>
      <c r="AB19" s="2"/>
      <c r="AC19" s="2"/>
      <c r="AD19" s="2"/>
    </row>
    <row r="20" spans="1:30" ht="9.6" customHeight="1">
      <c r="A20" s="8"/>
      <c r="B20" s="8"/>
      <c r="C20" s="8"/>
      <c r="D20" s="8"/>
      <c r="E20" s="8"/>
      <c r="F20" s="8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9.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9.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50.5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1"/>
      <c r="P23" s="11"/>
      <c r="Q23" s="11"/>
      <c r="R23" s="11"/>
      <c r="S23" s="11"/>
      <c r="T23" s="11"/>
      <c r="U23" s="11"/>
      <c r="V23" s="11"/>
      <c r="W23" s="1"/>
      <c r="X23" s="1"/>
      <c r="Y23" s="1"/>
      <c r="Z23" s="1"/>
      <c r="AA23" s="1"/>
      <c r="AB23" s="1"/>
      <c r="AC23" s="1"/>
      <c r="AD23" s="1"/>
    </row>
    <row r="24" spans="1:30" ht="16.9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2"/>
      <c r="P24" s="12"/>
      <c r="Q24" s="12"/>
      <c r="R24" s="12"/>
      <c r="S24" s="12"/>
      <c r="T24" s="12"/>
      <c r="U24" s="12"/>
      <c r="V24" s="12"/>
      <c r="W24" s="1"/>
      <c r="X24" s="1"/>
      <c r="Y24" s="1"/>
      <c r="Z24" s="1"/>
      <c r="AA24" s="1"/>
      <c r="AB24" s="1"/>
      <c r="AC24" s="1"/>
      <c r="AD24" s="1"/>
    </row>
    <row r="25" spans="1:30" ht="9.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1"/>
      <c r="X25" s="1"/>
      <c r="Y25" s="1"/>
      <c r="Z25" s="1"/>
      <c r="AA25" s="1"/>
      <c r="AB25" s="1"/>
      <c r="AC25" s="1"/>
      <c r="AD25" s="1"/>
    </row>
    <row r="26" spans="1:30" ht="9.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"/>
      <c r="X26" s="1"/>
      <c r="Y26" s="1"/>
      <c r="Z26" s="1"/>
      <c r="AA26" s="1"/>
      <c r="AB26" s="1"/>
      <c r="AC26" s="1"/>
      <c r="AD26" s="1"/>
    </row>
    <row r="27" spans="1:30" ht="9.6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"/>
      <c r="X27" s="1"/>
      <c r="Y27" s="1"/>
      <c r="Z27" s="1"/>
      <c r="AA27" s="1"/>
      <c r="AB27" s="1"/>
      <c r="AC27" s="1"/>
      <c r="AD27" s="1"/>
    </row>
    <row r="28" spans="1:30" ht="9.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"/>
      <c r="X28" s="1"/>
      <c r="Y28" s="1"/>
      <c r="Z28" s="1"/>
      <c r="AA28" s="1"/>
      <c r="AB28" s="1"/>
      <c r="AC28" s="1"/>
      <c r="AD28" s="1"/>
    </row>
    <row r="29" spans="1:30" ht="9.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"/>
      <c r="X29" s="1"/>
      <c r="Y29" s="1"/>
      <c r="Z29" s="1"/>
      <c r="AA29" s="1"/>
      <c r="AB29" s="1"/>
      <c r="AC29" s="1"/>
      <c r="AD29" s="1"/>
    </row>
    <row r="30" spans="1:30" ht="9.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"/>
      <c r="X30" s="1"/>
      <c r="Y30" s="1"/>
      <c r="Z30" s="1"/>
      <c r="AA30" s="1"/>
      <c r="AB30" s="1"/>
      <c r="AC30" s="1"/>
      <c r="AD30" s="1"/>
    </row>
    <row r="31" spans="1:30" ht="9.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1"/>
      <c r="X31" s="1"/>
      <c r="Y31" s="1"/>
      <c r="Z31" s="1"/>
      <c r="AA31" s="1"/>
      <c r="AB31" s="1"/>
      <c r="AC31" s="1"/>
      <c r="AD31" s="1"/>
    </row>
    <row r="32" spans="1:30" ht="9.6" customHeight="1">
      <c r="A32" s="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"/>
      <c r="X32" s="1"/>
      <c r="Y32" s="1"/>
      <c r="Z32" s="1"/>
      <c r="AA32" s="1"/>
      <c r="AB32" s="1"/>
      <c r="AC32" s="1"/>
      <c r="AD32" s="1"/>
    </row>
    <row r="33" spans="1:30" ht="9.6" customHeight="1">
      <c r="A33" s="8"/>
      <c r="B33" s="8"/>
      <c r="C33" s="8"/>
      <c r="D33" s="8"/>
      <c r="E33" s="8"/>
      <c r="F33" s="8"/>
      <c r="G33" s="8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1"/>
      <c r="X33" s="1"/>
      <c r="Y33" s="1"/>
      <c r="Z33" s="1"/>
      <c r="AA33" s="1"/>
      <c r="AB33" s="1"/>
      <c r="AC33" s="1"/>
      <c r="AD33" s="1"/>
    </row>
    <row r="34" spans="1:30" ht="143.69999999999999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"/>
      <c r="T34" s="1"/>
      <c r="U34" s="1"/>
      <c r="V34" s="1"/>
    </row>
    <row r="35" spans="1:30" ht="109.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"/>
      <c r="T35" s="1"/>
      <c r="U35" s="1"/>
      <c r="V35" s="1"/>
    </row>
    <row r="36" spans="1:30" ht="126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"/>
      <c r="T36" s="1"/>
      <c r="U36" s="1"/>
      <c r="V36" s="1"/>
    </row>
    <row r="37" spans="1:30" ht="135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"/>
      <c r="T37" s="1"/>
      <c r="U37" s="1"/>
      <c r="V37" s="1"/>
    </row>
    <row r="38" spans="1:30" ht="152.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"/>
      <c r="T38" s="1"/>
      <c r="U38" s="1"/>
      <c r="V38" s="1"/>
    </row>
    <row r="39" spans="1:30" ht="135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"/>
      <c r="T39" s="1"/>
      <c r="U39" s="1"/>
      <c r="V39" s="1"/>
    </row>
    <row r="40" spans="1:30" ht="118.3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"/>
      <c r="T40" s="1"/>
      <c r="U40" s="1"/>
      <c r="V40" s="1"/>
    </row>
    <row r="41" spans="1:30" ht="135.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"/>
      <c r="T41" s="1"/>
      <c r="U41" s="1"/>
      <c r="V41" s="1"/>
    </row>
    <row r="42" spans="1:30" ht="118.3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/>
      <c r="T42" s="1"/>
      <c r="U42" s="1"/>
      <c r="V42" s="1"/>
    </row>
    <row r="43" spans="1:30" ht="9.6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"/>
      <c r="T43" s="1"/>
      <c r="U43" s="1"/>
      <c r="V43" s="1"/>
    </row>
    <row r="44" spans="1:30" ht="9.6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"/>
      <c r="T44" s="1"/>
      <c r="U44" s="1"/>
      <c r="V44" s="1"/>
    </row>
    <row r="45" spans="1:30" ht="50.55" customHeight="1">
      <c r="A45" s="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"/>
      <c r="T45" s="1"/>
      <c r="U45" s="1"/>
      <c r="V45" s="1"/>
    </row>
    <row r="46" spans="1:30" ht="42.15" customHeight="1">
      <c r="A46" s="8"/>
      <c r="B46" s="8"/>
      <c r="C46" s="8"/>
      <c r="D46" s="8"/>
      <c r="E46" s="8"/>
      <c r="F46" s="8"/>
      <c r="G46" s="8"/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1"/>
      <c r="T46" s="1"/>
      <c r="U46" s="1"/>
      <c r="V46" s="1"/>
    </row>
    <row r="47" spans="1:30" ht="25.3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1"/>
      <c r="T47" s="1"/>
      <c r="U47" s="1"/>
      <c r="V47" s="1"/>
    </row>
    <row r="48" spans="1:30" ht="16.9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"/>
      <c r="T48" s="1"/>
      <c r="U48" s="1"/>
      <c r="V48" s="1"/>
    </row>
    <row r="49" spans="1:22" ht="25.3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"/>
      <c r="T49" s="1"/>
      <c r="U49" s="1"/>
      <c r="V49" s="1"/>
    </row>
    <row r="50" spans="1:22" ht="16.9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1"/>
      <c r="T50" s="1"/>
      <c r="U50" s="1"/>
      <c r="V50" s="1"/>
    </row>
    <row r="51" spans="1:22" ht="25.3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"/>
      <c r="T51" s="1"/>
      <c r="U51" s="1"/>
      <c r="V51" s="1"/>
    </row>
    <row r="52" spans="1:22" ht="16.9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"/>
      <c r="T52" s="1"/>
      <c r="U52" s="1"/>
      <c r="V52" s="1"/>
    </row>
    <row r="53" spans="1:22" ht="16.9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1"/>
      <c r="T53" s="1"/>
      <c r="U53" s="1"/>
      <c r="V53" s="1"/>
    </row>
    <row r="54" spans="1:22" ht="16.9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"/>
      <c r="T54" s="1"/>
      <c r="U54" s="1"/>
      <c r="V54" s="1"/>
    </row>
    <row r="55" spans="1:22" ht="25.3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1"/>
      <c r="T55" s="1"/>
      <c r="U55" s="1"/>
      <c r="V55" s="1"/>
    </row>
    <row r="56" spans="1:22" ht="9.6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1"/>
      <c r="T56" s="1"/>
      <c r="U56" s="1"/>
      <c r="V56" s="1"/>
    </row>
    <row r="57" spans="1:22" ht="9.6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1"/>
      <c r="T57" s="1"/>
      <c r="U57" s="1"/>
      <c r="V57" s="1"/>
    </row>
    <row r="58" spans="1:22" ht="9.6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1"/>
      <c r="T58" s="1"/>
      <c r="U58" s="1"/>
      <c r="V58" s="1"/>
    </row>
    <row r="59" spans="1:22" ht="9.6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1"/>
      <c r="T59" s="1"/>
      <c r="U59" s="1"/>
      <c r="V59" s="1"/>
    </row>
    <row r="60" spans="1:22" ht="9.6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"/>
      <c r="T60" s="1"/>
      <c r="U60" s="1"/>
      <c r="V60" s="1"/>
    </row>
    <row r="61" spans="1:22" ht="9.6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22" ht="9.6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22" ht="9.6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22" ht="9.6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9.6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9.6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9.6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9.6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9.6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9.6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9.6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9.6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9.6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9.6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9.6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9.6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9.6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9.6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9.6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9.6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</sheetData>
  <mergeCells count="4">
    <mergeCell ref="O2:T2"/>
    <mergeCell ref="V2:AB2"/>
    <mergeCell ref="AD2:AJ2"/>
    <mergeCell ref="A1:M1"/>
  </mergeCells>
  <conditionalFormatting sqref="H3:H11">
    <cfRule type="expression" dxfId="3" priority="1">
      <formula>H3="Alto"</formula>
    </cfRule>
    <cfRule type="expression" dxfId="2" priority="2">
      <formula>H3="Medio"</formula>
    </cfRule>
  </conditionalFormatting>
  <conditionalFormatting sqref="H47:H55">
    <cfRule type="expression" dxfId="1" priority="3">
      <formula>H47="Crítico"</formula>
    </cfRule>
    <cfRule type="expression" dxfId="0" priority="4">
      <formula>H47="Alto"</formula>
    </cfRule>
  </conditionalFormatting>
  <dataValidations count="1">
    <dataValidation type="list" sqref="D3:F11" xr:uid="{00000000-0002-0000-00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zoomScaleNormal="100" workbookViewId="0">
      <selection activeCell="M5" sqref="M5:M11"/>
    </sheetView>
  </sheetViews>
  <sheetFormatPr baseColWidth="10" defaultRowHeight="13.8"/>
  <cols>
    <col min="1" max="2" width="14" customWidth="1"/>
    <col min="3" max="3" width="32" customWidth="1"/>
    <col min="4" max="4" width="13" customWidth="1"/>
    <col min="5" max="5" width="14" customWidth="1"/>
    <col min="6" max="6" width="10" customWidth="1"/>
    <col min="7" max="7" width="19" customWidth="1"/>
    <col min="8" max="8" width="14" customWidth="1"/>
    <col min="9" max="9" width="16" customWidth="1"/>
    <col min="10" max="10" width="12" customWidth="1"/>
    <col min="11" max="11" width="3" customWidth="1"/>
    <col min="12" max="12" width="32" customWidth="1"/>
    <col min="13" max="13" width="16" customWidth="1"/>
    <col min="14" max="14" width="45" customWidth="1"/>
    <col min="15" max="15" width="3" customWidth="1"/>
    <col min="16" max="16" width="18" customWidth="1"/>
    <col min="17" max="21" width="14" customWidth="1"/>
    <col min="22" max="22" width="3" customWidth="1"/>
    <col min="23" max="23" width="18" customWidth="1"/>
    <col min="24" max="26" width="24" customWidth="1"/>
  </cols>
  <sheetData>
    <row r="1" spans="1:27" ht="30.45" customHeight="1">
      <c r="A1" s="41" t="s">
        <v>93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P1" s="41" t="s">
        <v>94</v>
      </c>
      <c r="Q1" s="41"/>
      <c r="R1" s="41"/>
      <c r="S1" s="41"/>
      <c r="T1" s="41"/>
      <c r="U1" s="41"/>
      <c r="W1" s="37"/>
      <c r="X1" s="37"/>
      <c r="Y1" s="37"/>
      <c r="Z1" s="37"/>
      <c r="AA1" s="13"/>
    </row>
    <row r="2" spans="1:27" ht="30.45" customHeight="1">
      <c r="A2" s="40" t="s">
        <v>95</v>
      </c>
      <c r="B2" s="40"/>
      <c r="C2" s="40"/>
      <c r="D2" s="40" t="s">
        <v>96</v>
      </c>
      <c r="E2" s="40"/>
      <c r="F2" s="40"/>
      <c r="G2" s="40"/>
      <c r="H2" s="40"/>
      <c r="I2" s="40"/>
      <c r="J2" s="40"/>
      <c r="K2" s="14"/>
      <c r="L2" s="40" t="s">
        <v>97</v>
      </c>
      <c r="M2" s="40"/>
      <c r="N2" s="40"/>
      <c r="P2" s="14"/>
      <c r="Q2" s="14"/>
      <c r="R2" s="14"/>
      <c r="S2" s="14"/>
      <c r="T2" s="14"/>
      <c r="U2" s="14"/>
      <c r="W2" s="34"/>
      <c r="X2" s="34"/>
      <c r="Y2" s="34"/>
      <c r="Z2" s="34"/>
      <c r="AA2" s="13"/>
    </row>
    <row r="3" spans="1:27" ht="41.4">
      <c r="A3" s="15" t="s">
        <v>1</v>
      </c>
      <c r="B3" s="15" t="s">
        <v>2</v>
      </c>
      <c r="C3" s="15" t="s">
        <v>3</v>
      </c>
      <c r="D3" s="15" t="s">
        <v>98</v>
      </c>
      <c r="E3" s="15" t="s">
        <v>99</v>
      </c>
      <c r="F3" s="15" t="s">
        <v>100</v>
      </c>
      <c r="G3" s="15" t="s">
        <v>101</v>
      </c>
      <c r="H3" s="15" t="s">
        <v>102</v>
      </c>
      <c r="I3" s="15" t="s">
        <v>103</v>
      </c>
      <c r="J3" s="15" t="s">
        <v>104</v>
      </c>
      <c r="K3" s="15"/>
      <c r="L3" s="15" t="s">
        <v>105</v>
      </c>
      <c r="M3" s="15" t="s">
        <v>106</v>
      </c>
      <c r="N3" s="15" t="s">
        <v>107</v>
      </c>
      <c r="P3" s="40" t="s">
        <v>108</v>
      </c>
      <c r="Q3" s="40"/>
      <c r="R3" s="40"/>
      <c r="S3" s="40"/>
      <c r="T3" s="14"/>
      <c r="U3" s="14"/>
      <c r="W3" s="35"/>
      <c r="X3" s="36"/>
      <c r="Y3" s="36"/>
      <c r="Z3" s="36"/>
      <c r="AA3" s="13"/>
    </row>
    <row r="4" spans="1:27" ht="30.45" customHeight="1">
      <c r="A4" s="16" t="s">
        <v>17</v>
      </c>
      <c r="B4" s="16" t="s">
        <v>18</v>
      </c>
      <c r="C4" s="17" t="s">
        <v>19</v>
      </c>
      <c r="D4" s="16">
        <v>1</v>
      </c>
      <c r="E4" s="16">
        <v>1</v>
      </c>
      <c r="F4" s="18">
        <f t="shared" ref="F4:F12" si="0">INDEX($Q$5:$S$7,D4,E4)</f>
        <v>1</v>
      </c>
      <c r="G4" s="16">
        <v>1</v>
      </c>
      <c r="H4" s="16">
        <v>2</v>
      </c>
      <c r="I4" s="19">
        <f t="shared" ref="I4:I12" si="1">INDEX($Q$11:$S$13,G4,H4)</f>
        <v>2</v>
      </c>
      <c r="J4" s="19" t="str">
        <f t="shared" ref="J4:J12" si="2">INDEX($Q$17:$U$21,F4,I4)</f>
        <v>II</v>
      </c>
      <c r="K4" s="20"/>
      <c r="L4" s="21" t="str">
        <f t="shared" ref="L4:L12" si="3">IF(OR(J4="IV",J4="V"),C4,"")</f>
        <v/>
      </c>
      <c r="M4" s="22" t="str">
        <f t="shared" ref="M4:M12" si="4">IF(L4&lt;&gt;"",J4,"")</f>
        <v/>
      </c>
      <c r="N4" s="23" t="str">
        <f>IF(L4&lt;&gt;"",'Matriz CID'!M3,"")</f>
        <v/>
      </c>
      <c r="P4" s="32" t="s">
        <v>109</v>
      </c>
      <c r="Q4" s="32" t="s">
        <v>110</v>
      </c>
      <c r="R4" s="32" t="s">
        <v>111</v>
      </c>
      <c r="S4" s="32" t="s">
        <v>112</v>
      </c>
      <c r="T4" s="14"/>
      <c r="U4" s="14"/>
      <c r="W4" s="35"/>
      <c r="X4" s="36"/>
      <c r="Y4" s="36"/>
      <c r="Z4" s="36"/>
      <c r="AA4" s="13"/>
    </row>
    <row r="5" spans="1:27" ht="26.4">
      <c r="A5" s="24" t="s">
        <v>17</v>
      </c>
      <c r="B5" s="24" t="s">
        <v>39</v>
      </c>
      <c r="C5" s="25" t="s">
        <v>40</v>
      </c>
      <c r="D5" s="24">
        <v>3</v>
      </c>
      <c r="E5" s="24">
        <v>3</v>
      </c>
      <c r="F5" s="26">
        <f t="shared" si="0"/>
        <v>5</v>
      </c>
      <c r="G5" s="24">
        <v>3</v>
      </c>
      <c r="H5" s="24">
        <v>3</v>
      </c>
      <c r="I5" s="26">
        <f t="shared" si="1"/>
        <v>5</v>
      </c>
      <c r="J5" s="26" t="str">
        <f t="shared" si="2"/>
        <v>V</v>
      </c>
      <c r="K5" s="27"/>
      <c r="L5" s="28" t="str">
        <f t="shared" si="3"/>
        <v>Base de datos de clientes</v>
      </c>
      <c r="M5" s="38" t="str">
        <f t="shared" si="4"/>
        <v>V</v>
      </c>
      <c r="N5" s="29" t="str">
        <f>IF(L5&lt;&gt;"",'Matriz CID'!M4,"")</f>
        <v>Cifrado, control de acceso por roles, monitoreo, respaldos probados y políticas de privacidad</v>
      </c>
      <c r="P5" s="33" t="s">
        <v>113</v>
      </c>
      <c r="Q5" s="18">
        <v>1</v>
      </c>
      <c r="R5" s="19">
        <v>2</v>
      </c>
      <c r="S5" s="30">
        <v>3</v>
      </c>
      <c r="T5" s="14"/>
      <c r="U5" s="14"/>
      <c r="W5" s="35"/>
      <c r="X5" s="36"/>
      <c r="Y5" s="36"/>
      <c r="Z5" s="36"/>
      <c r="AA5" s="13"/>
    </row>
    <row r="6" spans="1:27" ht="30.45" customHeight="1">
      <c r="A6" s="16" t="s">
        <v>17</v>
      </c>
      <c r="B6" s="16" t="s">
        <v>45</v>
      </c>
      <c r="C6" s="17" t="s">
        <v>46</v>
      </c>
      <c r="D6" s="16">
        <v>1</v>
      </c>
      <c r="E6" s="16">
        <v>2</v>
      </c>
      <c r="F6" s="19">
        <f t="shared" si="0"/>
        <v>2</v>
      </c>
      <c r="G6" s="16">
        <v>1</v>
      </c>
      <c r="H6" s="16">
        <v>1</v>
      </c>
      <c r="I6" s="18">
        <f t="shared" si="1"/>
        <v>1</v>
      </c>
      <c r="J6" s="19" t="str">
        <f t="shared" si="2"/>
        <v>II</v>
      </c>
      <c r="K6" s="20"/>
      <c r="L6" s="21" t="str">
        <f t="shared" si="3"/>
        <v/>
      </c>
      <c r="M6" s="39" t="str">
        <f t="shared" si="4"/>
        <v/>
      </c>
      <c r="N6" s="23" t="str">
        <f>IF(L6&lt;&gt;"",'Matriz CID'!M5,"")</f>
        <v/>
      </c>
      <c r="P6" s="33" t="s">
        <v>114</v>
      </c>
      <c r="Q6" s="19">
        <v>2</v>
      </c>
      <c r="R6" s="30">
        <v>3</v>
      </c>
      <c r="S6" s="31">
        <v>4</v>
      </c>
      <c r="T6" s="14"/>
      <c r="U6" s="14"/>
      <c r="W6" s="35"/>
      <c r="X6" s="36"/>
      <c r="Y6" s="36"/>
      <c r="Z6" s="36"/>
      <c r="AA6" s="13"/>
    </row>
    <row r="7" spans="1:27" ht="26.4">
      <c r="A7" s="24" t="s">
        <v>51</v>
      </c>
      <c r="B7" s="24" t="s">
        <v>52</v>
      </c>
      <c r="C7" s="25" t="s">
        <v>53</v>
      </c>
      <c r="D7" s="24">
        <v>3</v>
      </c>
      <c r="E7" s="24">
        <v>3</v>
      </c>
      <c r="F7" s="26">
        <f t="shared" si="0"/>
        <v>5</v>
      </c>
      <c r="G7" s="24">
        <v>3</v>
      </c>
      <c r="H7" s="24">
        <v>3</v>
      </c>
      <c r="I7" s="26">
        <f t="shared" si="1"/>
        <v>5</v>
      </c>
      <c r="J7" s="26" t="str">
        <f t="shared" si="2"/>
        <v>V</v>
      </c>
      <c r="K7" s="27"/>
      <c r="L7" s="28" t="str">
        <f t="shared" si="3"/>
        <v>Infraestructura de servidores</v>
      </c>
      <c r="M7" s="38" t="str">
        <f t="shared" si="4"/>
        <v>V</v>
      </c>
      <c r="N7" s="29" t="str">
        <f>IF(L7&lt;&gt;"",'Matriz CID'!M6,"")</f>
        <v>Hardening, parches, monitoreo 24/7, redundancia, respaldos y plan de continuidad</v>
      </c>
      <c r="P7" s="33" t="s">
        <v>115</v>
      </c>
      <c r="Q7" s="30">
        <v>3</v>
      </c>
      <c r="R7" s="31">
        <v>4</v>
      </c>
      <c r="S7" s="26">
        <v>5</v>
      </c>
      <c r="T7" s="14"/>
      <c r="U7" s="14"/>
      <c r="W7" s="35"/>
      <c r="X7" s="36"/>
      <c r="Y7" s="36"/>
      <c r="Z7" s="36"/>
      <c r="AA7" s="13"/>
    </row>
    <row r="8" spans="1:27" ht="20.85" customHeight="1">
      <c r="A8" s="16" t="s">
        <v>51</v>
      </c>
      <c r="B8" s="16" t="s">
        <v>59</v>
      </c>
      <c r="C8" s="17" t="s">
        <v>60</v>
      </c>
      <c r="D8" s="16">
        <v>1</v>
      </c>
      <c r="E8" s="16">
        <v>2</v>
      </c>
      <c r="F8" s="19">
        <f t="shared" si="0"/>
        <v>2</v>
      </c>
      <c r="G8" s="16">
        <v>1</v>
      </c>
      <c r="H8" s="16">
        <v>2</v>
      </c>
      <c r="I8" s="19">
        <f t="shared" si="1"/>
        <v>2</v>
      </c>
      <c r="J8" s="30" t="str">
        <f t="shared" si="2"/>
        <v>III</v>
      </c>
      <c r="K8" s="20"/>
      <c r="L8" s="21" t="str">
        <f t="shared" si="3"/>
        <v/>
      </c>
      <c r="M8" s="39" t="str">
        <f t="shared" si="4"/>
        <v/>
      </c>
      <c r="N8" s="23" t="str">
        <f>IF(L8&lt;&gt;"",'Matriz CID'!M7,"")</f>
        <v/>
      </c>
      <c r="P8" s="14"/>
      <c r="Q8" s="14"/>
      <c r="R8" s="14"/>
      <c r="S8" s="14"/>
      <c r="T8" s="14"/>
      <c r="U8" s="14"/>
      <c r="W8" s="13"/>
      <c r="X8" s="13"/>
      <c r="Y8" s="13"/>
      <c r="Z8" s="13"/>
      <c r="AA8" s="13"/>
    </row>
    <row r="9" spans="1:27" ht="26.4">
      <c r="A9" s="24" t="s">
        <v>51</v>
      </c>
      <c r="B9" s="24" t="s">
        <v>66</v>
      </c>
      <c r="C9" s="25" t="s">
        <v>67</v>
      </c>
      <c r="D9" s="24">
        <v>3</v>
      </c>
      <c r="E9" s="24">
        <v>3</v>
      </c>
      <c r="F9" s="26">
        <f t="shared" si="0"/>
        <v>5</v>
      </c>
      <c r="G9" s="24">
        <v>3</v>
      </c>
      <c r="H9" s="24">
        <v>3</v>
      </c>
      <c r="I9" s="26">
        <f t="shared" si="1"/>
        <v>5</v>
      </c>
      <c r="J9" s="26" t="str">
        <f t="shared" si="2"/>
        <v>V</v>
      </c>
      <c r="K9" s="27"/>
      <c r="L9" s="28" t="str">
        <f t="shared" si="3"/>
        <v>Dispositivos de red</v>
      </c>
      <c r="M9" s="38" t="str">
        <f t="shared" si="4"/>
        <v>V</v>
      </c>
      <c r="N9" s="29" t="str">
        <f>IF(L9&lt;&gt;"",'Matriz CID'!M8,"")</f>
        <v>Segmentación, actualización de firmware, reglas firewall revisadas, monitoreo SNMP y respaldos de configuración</v>
      </c>
      <c r="P9" s="40" t="s">
        <v>116</v>
      </c>
      <c r="Q9" s="40"/>
      <c r="R9" s="40"/>
      <c r="S9" s="40"/>
      <c r="T9" s="14"/>
      <c r="U9" s="14"/>
    </row>
    <row r="10" spans="1:27" ht="26.4">
      <c r="A10" s="16" t="s">
        <v>74</v>
      </c>
      <c r="B10" s="16" t="s">
        <v>75</v>
      </c>
      <c r="C10" s="17" t="s">
        <v>76</v>
      </c>
      <c r="D10" s="16">
        <v>2</v>
      </c>
      <c r="E10" s="16">
        <v>2</v>
      </c>
      <c r="F10" s="30">
        <f t="shared" si="0"/>
        <v>3</v>
      </c>
      <c r="G10" s="16">
        <v>2</v>
      </c>
      <c r="H10" s="16">
        <v>3</v>
      </c>
      <c r="I10" s="31">
        <f t="shared" si="1"/>
        <v>4</v>
      </c>
      <c r="J10" s="31" t="str">
        <f t="shared" si="2"/>
        <v>IV</v>
      </c>
      <c r="K10" s="20"/>
      <c r="L10" s="28" t="str">
        <f t="shared" si="3"/>
        <v>Sistema de tickets</v>
      </c>
      <c r="M10" s="38" t="str">
        <f t="shared" si="4"/>
        <v>IV</v>
      </c>
      <c r="N10" s="29" t="str">
        <f>IF(L10&lt;&gt;"",'Matriz CID'!M9,"")</f>
        <v>MFA, perfiles por rol, respaldos, auditoría de cambios y procedimiento alterno de registro</v>
      </c>
      <c r="P10" s="32" t="s">
        <v>117</v>
      </c>
      <c r="Q10" s="32" t="s">
        <v>118</v>
      </c>
      <c r="R10" s="32" t="s">
        <v>119</v>
      </c>
      <c r="S10" s="32" t="s">
        <v>120</v>
      </c>
      <c r="T10" s="14"/>
      <c r="U10" s="14"/>
    </row>
    <row r="11" spans="1:27" ht="26.4">
      <c r="A11" s="24" t="s">
        <v>74</v>
      </c>
      <c r="B11" s="24" t="s">
        <v>81</v>
      </c>
      <c r="C11" s="25" t="s">
        <v>82</v>
      </c>
      <c r="D11" s="24">
        <v>2</v>
      </c>
      <c r="E11" s="24">
        <v>2</v>
      </c>
      <c r="F11" s="30">
        <f t="shared" si="0"/>
        <v>3</v>
      </c>
      <c r="G11" s="24">
        <v>2</v>
      </c>
      <c r="H11" s="24">
        <v>2</v>
      </c>
      <c r="I11" s="30">
        <f t="shared" si="1"/>
        <v>3</v>
      </c>
      <c r="J11" s="31" t="str">
        <f t="shared" si="2"/>
        <v>IV</v>
      </c>
      <c r="K11" s="27"/>
      <c r="L11" s="28" t="str">
        <f t="shared" si="3"/>
        <v>Bitácoras de incidencias</v>
      </c>
      <c r="M11" s="38" t="str">
        <f t="shared" si="4"/>
        <v>IV</v>
      </c>
      <c r="N11" s="29" t="str">
        <f>IF(L11&lt;&gt;"",'Matriz CID'!M10,"")</f>
        <v>Bitácoras inmutables, control de cambios, política de retención y revisión de evidencias</v>
      </c>
      <c r="P11" s="33" t="s">
        <v>121</v>
      </c>
      <c r="Q11" s="18">
        <v>1</v>
      </c>
      <c r="R11" s="19">
        <v>2</v>
      </c>
      <c r="S11" s="30">
        <v>3</v>
      </c>
      <c r="T11" s="14"/>
      <c r="U11" s="14"/>
    </row>
    <row r="12" spans="1:27" ht="20.85" customHeight="1">
      <c r="A12" s="16" t="s">
        <v>74</v>
      </c>
      <c r="B12" s="16" t="s">
        <v>87</v>
      </c>
      <c r="C12" s="17" t="s">
        <v>88</v>
      </c>
      <c r="D12" s="16">
        <v>1</v>
      </c>
      <c r="E12" s="16">
        <v>2</v>
      </c>
      <c r="F12" s="19">
        <f t="shared" si="0"/>
        <v>2</v>
      </c>
      <c r="G12" s="16">
        <v>1</v>
      </c>
      <c r="H12" s="16">
        <v>2</v>
      </c>
      <c r="I12" s="19">
        <f t="shared" si="1"/>
        <v>2</v>
      </c>
      <c r="J12" s="30" t="str">
        <f t="shared" si="2"/>
        <v>III</v>
      </c>
      <c r="K12" s="20"/>
      <c r="L12" s="21" t="str">
        <f t="shared" si="3"/>
        <v/>
      </c>
      <c r="M12" s="22" t="str">
        <f t="shared" si="4"/>
        <v/>
      </c>
      <c r="N12" s="23" t="str">
        <f>IF(L12&lt;&gt;"",'Matriz CID'!M11,"")</f>
        <v/>
      </c>
      <c r="P12" s="33" t="s">
        <v>122</v>
      </c>
      <c r="Q12" s="19">
        <v>2</v>
      </c>
      <c r="R12" s="30">
        <v>3</v>
      </c>
      <c r="S12" s="31">
        <v>4</v>
      </c>
      <c r="T12" s="14"/>
      <c r="U12" s="14"/>
    </row>
    <row r="13" spans="1:27" ht="20.85" customHeight="1">
      <c r="P13" s="33" t="s">
        <v>123</v>
      </c>
      <c r="Q13" s="30">
        <v>3</v>
      </c>
      <c r="R13" s="31">
        <v>4</v>
      </c>
      <c r="S13" s="26">
        <v>5</v>
      </c>
      <c r="T13" s="14"/>
      <c r="U13" s="14"/>
    </row>
    <row r="14" spans="1:27" ht="20.85" customHeight="1">
      <c r="P14" s="14"/>
      <c r="Q14" s="14"/>
      <c r="R14" s="14"/>
      <c r="S14" s="14"/>
      <c r="T14" s="14"/>
      <c r="U14" s="14"/>
    </row>
    <row r="15" spans="1:27" ht="20.85" customHeight="1">
      <c r="P15" s="40" t="s">
        <v>124</v>
      </c>
      <c r="Q15" s="40"/>
      <c r="R15" s="40"/>
      <c r="S15" s="40"/>
      <c r="T15" s="40"/>
      <c r="U15" s="40"/>
    </row>
    <row r="16" spans="1:27" ht="26.4">
      <c r="P16" s="32" t="s">
        <v>125</v>
      </c>
      <c r="Q16" s="32">
        <v>1</v>
      </c>
      <c r="R16" s="32">
        <v>2</v>
      </c>
      <c r="S16" s="32">
        <v>3</v>
      </c>
      <c r="T16" s="32">
        <v>4</v>
      </c>
      <c r="U16" s="32">
        <v>5</v>
      </c>
    </row>
    <row r="17" spans="16:21" ht="20.85" customHeight="1">
      <c r="P17" s="33">
        <v>1</v>
      </c>
      <c r="Q17" s="18" t="s">
        <v>5</v>
      </c>
      <c r="R17" s="19" t="s">
        <v>126</v>
      </c>
      <c r="S17" s="30" t="s">
        <v>127</v>
      </c>
      <c r="T17" s="30" t="s">
        <v>127</v>
      </c>
      <c r="U17" s="31" t="s">
        <v>128</v>
      </c>
    </row>
    <row r="18" spans="16:21" ht="20.85" customHeight="1">
      <c r="P18" s="33">
        <v>2</v>
      </c>
      <c r="Q18" s="19" t="s">
        <v>126</v>
      </c>
      <c r="R18" s="30" t="s">
        <v>127</v>
      </c>
      <c r="S18" s="30" t="s">
        <v>127</v>
      </c>
      <c r="T18" s="31" t="s">
        <v>128</v>
      </c>
      <c r="U18" s="31" t="s">
        <v>128</v>
      </c>
    </row>
    <row r="19" spans="16:21" ht="20.85" customHeight="1">
      <c r="P19" s="33">
        <v>3</v>
      </c>
      <c r="Q19" s="30" t="s">
        <v>127</v>
      </c>
      <c r="R19" s="30" t="s">
        <v>127</v>
      </c>
      <c r="S19" s="31" t="s">
        <v>128</v>
      </c>
      <c r="T19" s="31" t="s">
        <v>128</v>
      </c>
      <c r="U19" s="26" t="s">
        <v>129</v>
      </c>
    </row>
    <row r="20" spans="16:21" ht="20.85" customHeight="1">
      <c r="P20" s="33">
        <v>4</v>
      </c>
      <c r="Q20" s="30" t="s">
        <v>127</v>
      </c>
      <c r="R20" s="31" t="s">
        <v>128</v>
      </c>
      <c r="S20" s="31" t="s">
        <v>128</v>
      </c>
      <c r="T20" s="26" t="s">
        <v>129</v>
      </c>
      <c r="U20" s="26" t="s">
        <v>129</v>
      </c>
    </row>
    <row r="21" spans="16:21" ht="20.85" customHeight="1">
      <c r="P21" s="33">
        <v>5</v>
      </c>
      <c r="Q21" s="31" t="s">
        <v>128</v>
      </c>
      <c r="R21" s="31" t="s">
        <v>128</v>
      </c>
      <c r="S21" s="26" t="s">
        <v>129</v>
      </c>
      <c r="T21" s="26" t="s">
        <v>129</v>
      </c>
      <c r="U21" s="26" t="s">
        <v>129</v>
      </c>
    </row>
  </sheetData>
  <mergeCells count="8">
    <mergeCell ref="P3:S3"/>
    <mergeCell ref="P9:S9"/>
    <mergeCell ref="P15:U15"/>
    <mergeCell ref="A1:N1"/>
    <mergeCell ref="A2:C2"/>
    <mergeCell ref="D2:J2"/>
    <mergeCell ref="L2:N2"/>
    <mergeCell ref="P1:U1"/>
  </mergeCells>
  <dataValidations count="1">
    <dataValidation type="list" sqref="D4:E12 G4:H12" xr:uid="{00000000-0002-0000-0100-000000000000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CID</vt:lpstr>
      <vt:lpstr>MatImpIntdpCrit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Paz Nieves</cp:lastModifiedBy>
  <dcterms:modified xsi:type="dcterms:W3CDTF">2026-06-18T00:19:15Z</dcterms:modified>
</cp:coreProperties>
</file>